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rpain-my.sharepoint.com/personal/dgongora_lerpain_onmicrosoft_com/Documents/Daniel/PERSONAL/Estudio/Bootcamp Analisis de Datos/Módulo 1 - Fundamentos del trabajo de datos con Excel/Clase 7/"/>
    </mc:Choice>
  </mc:AlternateContent>
  <xr:revisionPtr revIDLastSave="455" documentId="13_ncr:1_{8F40C800-6F18-49F2-ADFE-CF7E897CDB3A}" xr6:coauthVersionLast="47" xr6:coauthVersionMax="47" xr10:uidLastSave="{E701606A-4B42-4562-8887-56F68403F5FC}"/>
  <bookViews>
    <workbookView xWindow="-120" yWindow="-120" windowWidth="24240" windowHeight="13140" xr2:uid="{23BD1EFA-C1C5-4016-9C51-BE5C40BA7F0A}"/>
  </bookViews>
  <sheets>
    <sheet name="Formulario" sheetId="1" r:id="rId1"/>
    <sheet name="Datos" sheetId="3" r:id="rId2"/>
    <sheet name="AUX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3" l="1"/>
  <c r="D4" i="1"/>
  <c r="D11" i="1" s="1"/>
</calcChain>
</file>

<file path=xl/sharedStrings.xml><?xml version="1.0" encoding="utf-8"?>
<sst xmlns="http://schemas.openxmlformats.org/spreadsheetml/2006/main" count="136" uniqueCount="82">
  <si>
    <t>FORMULARIO DE INGRESO PARA EMPLEADOS</t>
  </si>
  <si>
    <t>N d Empleado</t>
  </si>
  <si>
    <t>Fecha de Ingreso</t>
  </si>
  <si>
    <t>Nombres</t>
  </si>
  <si>
    <t>Apellidos</t>
  </si>
  <si>
    <t>Fecha Nacimiento</t>
  </si>
  <si>
    <t>Edad</t>
  </si>
  <si>
    <t>Sexo</t>
  </si>
  <si>
    <t>Mail</t>
  </si>
  <si>
    <t>Celular</t>
  </si>
  <si>
    <t>Sueldo Base</t>
  </si>
  <si>
    <t>Información Personal</t>
  </si>
  <si>
    <t>Estado Civil</t>
  </si>
  <si>
    <t>Estado civil</t>
  </si>
  <si>
    <t>Masculino (M)</t>
  </si>
  <si>
    <t>Femenino (F)</t>
  </si>
  <si>
    <t>Soltero(a)</t>
  </si>
  <si>
    <t>Casado(a)</t>
  </si>
  <si>
    <t>Separado(a)</t>
  </si>
  <si>
    <t>Viudo(a)</t>
  </si>
  <si>
    <t>Columna1</t>
  </si>
  <si>
    <t>Columna2</t>
  </si>
  <si>
    <t>Columna3</t>
  </si>
  <si>
    <t>Daniel</t>
  </si>
  <si>
    <t>Total</t>
  </si>
  <si>
    <t>Isabela</t>
  </si>
  <si>
    <t>Carol</t>
  </si>
  <si>
    <t>Laura</t>
  </si>
  <si>
    <t>laura@gmail.com</t>
  </si>
  <si>
    <t>Jose</t>
  </si>
  <si>
    <t>jose@gmail.com</t>
  </si>
  <si>
    <t>Claudia</t>
  </si>
  <si>
    <t>claudia@gmail.com</t>
  </si>
  <si>
    <t>Pablo</t>
  </si>
  <si>
    <t>Pascal</t>
  </si>
  <si>
    <t>pablo@gmail.com</t>
  </si>
  <si>
    <t>Camilo</t>
  </si>
  <si>
    <t>camilo@gmial.com</t>
  </si>
  <si>
    <t>Camila</t>
  </si>
  <si>
    <t>camila@gmail.com</t>
  </si>
  <si>
    <t>pascal@gmail.com</t>
  </si>
  <si>
    <t>Roberto</t>
  </si>
  <si>
    <t>Perez Castro</t>
  </si>
  <si>
    <t>Lopez Callejas</t>
  </si>
  <si>
    <t>Cabello Fernandez</t>
  </si>
  <si>
    <t>Quintana Lorenzo</t>
  </si>
  <si>
    <t>Pascal Rodriguez</t>
  </si>
  <si>
    <t>Castro Dener</t>
  </si>
  <si>
    <t>García Montes</t>
  </si>
  <si>
    <t>Campos Hernandez</t>
  </si>
  <si>
    <t>Salazar Cifuentes</t>
  </si>
  <si>
    <t>Sepulveda Martinez</t>
  </si>
  <si>
    <t>Gongora Morales</t>
  </si>
  <si>
    <t>roberto@gmail.com</t>
  </si>
  <si>
    <t>Abel</t>
  </si>
  <si>
    <t>Castillo Caballero</t>
  </si>
  <si>
    <t>abel@gmail.com</t>
  </si>
  <si>
    <t xml:space="preserve">Irma </t>
  </si>
  <si>
    <t>Martinez Gallardo</t>
  </si>
  <si>
    <t>irma@gmail.com</t>
  </si>
  <si>
    <t>Silvia</t>
  </si>
  <si>
    <t xml:space="preserve"> Peters Vargas</t>
  </si>
  <si>
    <t>silvia@gmail.com</t>
  </si>
  <si>
    <t>Manuel</t>
  </si>
  <si>
    <t>Silva Aranda</t>
  </si>
  <si>
    <t>manuel@gmail.com</t>
  </si>
  <si>
    <t>Maria Eugenia</t>
  </si>
  <si>
    <t>Alfaro Rodriguez</t>
  </si>
  <si>
    <t>maria@gmail.com</t>
  </si>
  <si>
    <t>Sonia</t>
  </si>
  <si>
    <t>Perez Gomez</t>
  </si>
  <si>
    <t>sonia@gmail.com</t>
  </si>
  <si>
    <t>daniel@gmail.com</t>
  </si>
  <si>
    <t>Gabriel</t>
  </si>
  <si>
    <t>Sepulveda Ramos</t>
  </si>
  <si>
    <t>gabriel@gmail.com</t>
  </si>
  <si>
    <t>daniels@gmail.com</t>
  </si>
  <si>
    <t>Benjamin</t>
  </si>
  <si>
    <t>Ospina Gutierrez</t>
  </si>
  <si>
    <t>benjamin@gmail.com</t>
  </si>
  <si>
    <t>carol@gmail.com</t>
  </si>
  <si>
    <t>isabela@gmail.com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</si>
</sst>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;@"/>
    <numFmt numFmtId="165" formatCode="_ [$$-340A]* #,##0_ ;_ [$$-340A]* \-#,##0_ ;_ [$$-340A]* &quot;-&quot;??_ ;_ @_ "/>
  </numFmts>
  <fonts count="5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CFA9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0" borderId="1" xfId="0" applyNumberFormat="1" applyBorder="1"/>
    <xf numFmtId="0" fontId="0" fillId="3" borderId="1" xfId="0" applyFill="1" applyBorder="1"/>
    <xf numFmtId="0" fontId="0" fillId="0" borderId="2" xfId="0" applyBorder="1"/>
    <xf numFmtId="0" fontId="0" fillId="0" borderId="4" xfId="0" applyBorder="1"/>
    <xf numFmtId="0" fontId="0" fillId="2" borderId="3" xfId="0" applyFill="1" applyBorder="1"/>
    <xf numFmtId="0" fontId="0" fillId="2" borderId="0" xfId="0" applyFill="1"/>
    <xf numFmtId="0" fontId="0" fillId="3" borderId="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164" fontId="0" fillId="0" borderId="6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0" fontId="0" fillId="3" borderId="8" xfId="0" applyFill="1" applyBorder="1" applyAlignment="1">
      <alignment horizontal="center" vertical="center"/>
    </xf>
    <xf numFmtId="1" fontId="0" fillId="0" borderId="6" xfId="0" applyNumberFormat="1" applyBorder="1" applyAlignment="1">
      <alignment horizontal="right"/>
    </xf>
    <xf numFmtId="0" fontId="3" fillId="3" borderId="7" xfId="0" applyFont="1" applyFill="1" applyBorder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/>
    <xf numFmtId="0" fontId="4" fillId="0" borderId="6" xfId="1" applyBorder="1" applyAlignment="1">
      <alignment horizontal="right"/>
    </xf>
    <xf numFmtId="165" fontId="0" fillId="0" borderId="19" xfId="0" applyNumberFormat="1" applyBorder="1" applyAlignment="1">
      <alignment horizontal="right"/>
    </xf>
    <xf numFmtId="0" fontId="1" fillId="4" borderId="0" xfId="0" applyFont="1" applyFill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6">
    <dxf>
      <numFmt numFmtId="165" formatCode="_ [$$-340A]* #,##0_ ;_ [$$-340A]* \-#,##0_ ;_ [$$-340A]* &quot;-&quot;??_ ;_ @_ "/>
    </dxf>
    <dxf>
      <numFmt numFmtId="165" formatCode="_ [$$-340A]* #,##0_ ;_ [$$-340A]* \-#,##0_ ;_ [$$-340A]* &quot;-&quot;??_ ;_ @_ 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dd\-mm\-yyyy;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164" formatCode="dd\-mm\-yy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</dxf>
    <dxf>
      <numFmt numFmtId="0" formatCode="General"/>
      <border diagonalUp="0" diagonalDown="0">
        <left/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</dxf>
    <dxf>
      <border diagonalUp="0" diagonalDown="0">
        <left style="double">
          <color indexed="64"/>
        </left>
        <right/>
        <top/>
        <bottom/>
        <vertical/>
        <horizontal/>
      </border>
    </dxf>
    <dxf>
      <border outline="0">
        <top style="medium">
          <color indexed="64"/>
        </top>
        <bottom style="double">
          <color indexed="64"/>
        </bottom>
      </border>
    </dxf>
    <dxf>
      <border outline="0">
        <bottom style="double">
          <color indexed="64"/>
        </bottom>
      </border>
    </dxf>
    <dxf>
      <fill>
        <patternFill patternType="solid">
          <fgColor indexed="64"/>
          <bgColor rgb="FFFCFA9E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FCFA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17</xdr:row>
          <xdr:rowOff>9525</xdr:rowOff>
        </xdr:from>
        <xdr:to>
          <xdr:col>2</xdr:col>
          <xdr:colOff>590550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17</xdr:row>
          <xdr:rowOff>0</xdr:rowOff>
        </xdr:from>
        <xdr:to>
          <xdr:col>3</xdr:col>
          <xdr:colOff>2257425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DB648A-E0E2-4BAE-9C96-C47519A36146}" name="Tabla4" displayName="Tabla4" ref="B6:D16" totalsRowShown="0" headerRowDxfId="24" headerRowBorderDxfId="23" tableBorderDxfId="22">
  <autoFilter ref="B6:D16" xr:uid="{7CDB648A-E0E2-4BAE-9C96-C47519A36146}"/>
  <tableColumns count="3">
    <tableColumn id="1" xr3:uid="{0775C808-F974-4843-AEAD-DB7E53B713F8}" name="Columna1" dataDxfId="21"/>
    <tableColumn id="2" xr3:uid="{D6A573DE-0BBF-461D-8D79-DCA9171CF802}" name="Columna2" dataDxfId="20"/>
    <tableColumn id="3" xr3:uid="{118ED5C3-E989-4C92-AC91-C3C9A7024920}" name="Columna3" dataDxfId="19">
      <calculatedColumnFormula>SIFECHA(fechaInicial,fechaFinal,Formato_año)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4B0423-5538-4DE8-8C37-8C28AAA40134}" name="Registros" displayName="Registros" ref="A2:K24" totalsRowCount="1" headerRowDxfId="17" dataDxfId="16">
  <autoFilter ref="A2:K23" xr:uid="{B04B0423-5538-4DE8-8C37-8C28AAA40134}"/>
  <sortState xmlns:xlrd2="http://schemas.microsoft.com/office/spreadsheetml/2017/richdata2" ref="A3:K23">
    <sortCondition descending="1" ref="B2:B23"/>
  </sortState>
  <tableColumns count="11">
    <tableColumn id="1" xr3:uid="{C7198DA0-4B66-4A76-A102-ED4D3F91B694}" name="Fecha de Ingreso" totalsRowLabel="Total" dataDxfId="15"/>
    <tableColumn id="2" xr3:uid="{A4FACEE9-EF3F-43FD-BDBD-684A0FF723EA}" name="N d Empleado" dataDxfId="14"/>
    <tableColumn id="3" xr3:uid="{2941F63C-1C5B-4ECB-8982-05EB99026D36}" name="Nombres" dataDxfId="13"/>
    <tableColumn id="4" xr3:uid="{880A5C56-E459-4126-A379-4BCF7A725D9F}" name="Apellidos" dataDxfId="12"/>
    <tableColumn id="5" xr3:uid="{6E59109F-2285-4DD7-8713-162661C3BE60}" name="Fecha Nacimiento" dataDxfId="11" totalsRowDxfId="10"/>
    <tableColumn id="6" xr3:uid="{5BEEC1D4-16DE-4B7F-AF8B-DB884AADA8E6}" name="Edad" dataDxfId="9" totalsRowDxfId="8"/>
    <tableColumn id="7" xr3:uid="{3AC25BDF-7F62-4E66-AB2E-A1D8D1380924}" name="Sexo" dataDxfId="7" totalsRowDxfId="6"/>
    <tableColumn id="8" xr3:uid="{6BEE021F-4807-4663-80BE-43225F9C9E63}" name="Estado Civil" dataDxfId="5" totalsRowDxfId="4"/>
    <tableColumn id="9" xr3:uid="{D7BA2F9B-0E76-4653-9FE0-5DB12350BEF3}" name="Mail" dataDxfId="3"/>
    <tableColumn id="10" xr3:uid="{F20AE778-33E5-4CB5-9B87-3F094B0B8DE1}" name="Celular" dataDxfId="2"/>
    <tableColumn id="11" xr3:uid="{AA74D15D-81D5-473C-BD80-0EC8C5CB91D9}" name="Sueldo Base" totalsRowFunction="sum" dataDxfId="1" totalsRowDxfId="0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BB5CF-DE51-4CFC-BB21-69EACBA5D480}" name="Tabla1" displayName="Tabla1" ref="A3:A5" totalsRowShown="0">
  <autoFilter ref="A3:A5" xr:uid="{130BB5CF-DE51-4CFC-BB21-69EACBA5D480}"/>
  <tableColumns count="1">
    <tableColumn id="1" xr3:uid="{B1B44E4D-7567-4E40-82FE-CC83B9B57216}" name="Sexo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1B6805-BF59-42FE-9297-575718CB4B14}" name="Tabla2" displayName="Tabla2" ref="A7:A11" totalsRowShown="0">
  <autoFilter ref="A7:A11" xr:uid="{431B6805-BF59-42FE-9297-575718CB4B14}"/>
  <tableColumns count="1">
    <tableColumn id="1" xr3:uid="{43E32BE9-A891-4D89-8AAF-41D8372592F3}" name="Estado civil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@gmail.com" TargetMode="External"/><Relationship Id="rId2" Type="http://schemas.openxmlformats.org/officeDocument/2006/relationships/hyperlink" Target="mailto:daniels@gmail.com" TargetMode="External"/><Relationship Id="rId1" Type="http://schemas.openxmlformats.org/officeDocument/2006/relationships/hyperlink" Target="mailto:daniel@gmail.com" TargetMode="External"/><Relationship Id="rId5" Type="http://schemas.openxmlformats.org/officeDocument/2006/relationships/table" Target="../tables/table2.xml"/><Relationship Id="rId4" Type="http://schemas.openxmlformats.org/officeDocument/2006/relationships/hyperlink" Target="mailto:isabela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485E-4E62-4EA5-9357-5C7C63A998B5}">
  <sheetPr codeName="Hoja1"/>
  <dimension ref="B1:E20"/>
  <sheetViews>
    <sheetView showGridLines="0" tabSelected="1" workbookViewId="0">
      <selection activeCell="D9" sqref="D9"/>
    </sheetView>
  </sheetViews>
  <sheetFormatPr baseColWidth="10" defaultRowHeight="15" x14ac:dyDescent="0.25"/>
  <cols>
    <col min="1" max="1" width="5.5703125" customWidth="1"/>
    <col min="2" max="2" width="23" customWidth="1"/>
    <col min="3" max="3" width="12" customWidth="1"/>
    <col min="4" max="4" width="39.42578125" customWidth="1"/>
  </cols>
  <sheetData>
    <row r="1" spans="2:5" ht="18.75" x14ac:dyDescent="0.3">
      <c r="B1" s="25" t="s">
        <v>0</v>
      </c>
      <c r="C1" s="25"/>
      <c r="D1" s="25"/>
    </row>
    <row r="3" spans="2:5" x14ac:dyDescent="0.25">
      <c r="B3" s="4" t="s">
        <v>1</v>
      </c>
      <c r="C3" s="2"/>
      <c r="D3" s="1">
        <v>21</v>
      </c>
    </row>
    <row r="4" spans="2:5" x14ac:dyDescent="0.25">
      <c r="B4" s="4" t="s">
        <v>2</v>
      </c>
      <c r="C4" s="2"/>
      <c r="D4" s="3">
        <f ca="1">TODAY()</f>
        <v>45020</v>
      </c>
    </row>
    <row r="5" spans="2:5" ht="15.75" thickBot="1" x14ac:dyDescent="0.3"/>
    <row r="6" spans="2:5" ht="15.75" hidden="1" thickBot="1" x14ac:dyDescent="0.3">
      <c r="B6" s="10" t="s">
        <v>20</v>
      </c>
      <c r="C6" s="9" t="s">
        <v>21</v>
      </c>
      <c r="D6" s="11" t="s">
        <v>22</v>
      </c>
    </row>
    <row r="7" spans="2:5" ht="15.75" thickBot="1" x14ac:dyDescent="0.3">
      <c r="B7" s="14"/>
      <c r="C7" s="16" t="s">
        <v>11</v>
      </c>
      <c r="D7" s="14"/>
    </row>
    <row r="8" spans="2:5" ht="16.5" thickTop="1" thickBot="1" x14ac:dyDescent="0.3">
      <c r="B8" s="5" t="s">
        <v>3</v>
      </c>
      <c r="C8" s="7"/>
      <c r="D8" s="13"/>
    </row>
    <row r="9" spans="2:5" ht="16.5" thickTop="1" thickBot="1" x14ac:dyDescent="0.3">
      <c r="B9" s="6" t="s">
        <v>4</v>
      </c>
      <c r="C9" s="8"/>
      <c r="D9" s="13"/>
    </row>
    <row r="10" spans="2:5" ht="16.5" thickTop="1" thickBot="1" x14ac:dyDescent="0.3">
      <c r="B10" s="6" t="s">
        <v>5</v>
      </c>
      <c r="C10" s="8"/>
      <c r="D10" s="12"/>
    </row>
    <row r="11" spans="2:5" ht="16.5" thickTop="1" thickBot="1" x14ac:dyDescent="0.3">
      <c r="B11" s="6" t="s">
        <v>6</v>
      </c>
      <c r="C11" s="8"/>
      <c r="D11" s="15">
        <f ca="1">DATEDIF(D10,D4,"y")</f>
        <v>123</v>
      </c>
    </row>
    <row r="12" spans="2:5" ht="16.5" thickTop="1" thickBot="1" x14ac:dyDescent="0.3">
      <c r="B12" s="6" t="s">
        <v>7</v>
      </c>
      <c r="C12" s="8"/>
      <c r="D12" s="13"/>
    </row>
    <row r="13" spans="2:5" ht="16.5" thickTop="1" thickBot="1" x14ac:dyDescent="0.3">
      <c r="B13" s="6" t="s">
        <v>12</v>
      </c>
      <c r="C13" s="8"/>
      <c r="D13" s="13"/>
      <c r="E13" s="6"/>
    </row>
    <row r="14" spans="2:5" ht="16.5" thickTop="1" thickBot="1" x14ac:dyDescent="0.3">
      <c r="B14" s="6" t="s">
        <v>8</v>
      </c>
      <c r="C14" s="8"/>
      <c r="D14" s="23"/>
    </row>
    <row r="15" spans="2:5" ht="16.5" thickTop="1" thickBot="1" x14ac:dyDescent="0.3">
      <c r="B15" s="6" t="s">
        <v>9</v>
      </c>
      <c r="C15" s="8"/>
      <c r="D15" s="13"/>
    </row>
    <row r="16" spans="2:5" ht="16.5" thickTop="1" thickBot="1" x14ac:dyDescent="0.3">
      <c r="B16" s="6" t="s">
        <v>10</v>
      </c>
      <c r="C16" s="8"/>
      <c r="D16" s="24"/>
    </row>
    <row r="17" spans="2:4" x14ac:dyDescent="0.25">
      <c r="B17" s="26"/>
      <c r="C17" s="27"/>
      <c r="D17" s="28"/>
    </row>
    <row r="18" spans="2:4" x14ac:dyDescent="0.25">
      <c r="B18" s="29"/>
      <c r="C18" s="30"/>
      <c r="D18" s="31"/>
    </row>
    <row r="19" spans="2:4" x14ac:dyDescent="0.25">
      <c r="B19" s="29"/>
      <c r="C19" s="30"/>
      <c r="D19" s="31"/>
    </row>
    <row r="20" spans="2:4" ht="15.75" thickBot="1" x14ac:dyDescent="0.3">
      <c r="B20" s="32"/>
      <c r="C20" s="33"/>
      <c r="D20" s="34"/>
    </row>
  </sheetData>
  <mergeCells count="2">
    <mergeCell ref="B1:D1"/>
    <mergeCell ref="B17:D20"/>
  </mergeCells>
  <conditionalFormatting sqref="D11">
    <cfRule type="expression" dxfId="25" priority="1">
      <formula>ISBLANK($D$10)</formula>
    </cfRule>
  </conditionalFormatting>
  <dataValidations count="2">
    <dataValidation type="date" allowBlank="1" showInputMessage="1" showErrorMessage="1" sqref="D10" xr:uid="{33E8E40F-2776-42E5-887F-A2B3B2A590CA}">
      <formula1>1</formula1>
      <formula2>TODAY()</formula2>
    </dataValidation>
    <dataValidation type="custom" allowBlank="1" showInputMessage="1" showErrorMessage="1" sqref="D11" xr:uid="{BDF10A93-D0F2-4D1B-A833-310B5130779B}">
      <formula1>DATEDIF(D10,D4,"y")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r_registros">
                <anchor moveWithCells="1" sizeWithCells="1">
                  <from>
                    <xdr:col>1</xdr:col>
                    <xdr:colOff>247650</xdr:colOff>
                    <xdr:row>17</xdr:row>
                    <xdr:rowOff>9525</xdr:rowOff>
                  </from>
                  <to>
                    <xdr:col>2</xdr:col>
                    <xdr:colOff>590550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gresar_registros">
                <anchor moveWithCells="1" sizeWithCells="1">
                  <from>
                    <xdr:col>3</xdr:col>
                    <xdr:colOff>504825</xdr:colOff>
                    <xdr:row>17</xdr:row>
                    <xdr:rowOff>0</xdr:rowOff>
                  </from>
                  <to>
                    <xdr:col>3</xdr:col>
                    <xdr:colOff>2257425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301CD26-6B8B-4AAA-914F-91C1929920B9}">
          <x14:formula1>
            <xm:f>AUX!$A$8:$A$11</xm:f>
          </x14:formula1>
          <xm:sqref>D13</xm:sqref>
        </x14:dataValidation>
        <x14:dataValidation type="list" allowBlank="1" showInputMessage="1" showErrorMessage="1" xr:uid="{EFF17252-E131-4D42-B111-AD8E8BB56B8B}">
          <x14:formula1>
            <xm:f>AUX!$A$4:$A$5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137D-7CA5-47F1-8CF4-6D12564A720C}">
  <sheetPr codeName="Hoja3"/>
  <dimension ref="A2:K24"/>
  <sheetViews>
    <sheetView workbookViewId="0">
      <selection activeCell="A3" sqref="A3:XFD3"/>
    </sheetView>
  </sheetViews>
  <sheetFormatPr baseColWidth="10" defaultRowHeight="15" x14ac:dyDescent="0.25"/>
  <cols>
    <col min="1" max="1" width="18" customWidth="1"/>
    <col min="2" max="2" width="15.42578125" customWidth="1"/>
    <col min="4" max="4" width="18.140625" bestFit="1" customWidth="1"/>
    <col min="5" max="5" width="19" customWidth="1"/>
    <col min="7" max="7" width="13.5703125" bestFit="1" customWidth="1"/>
    <col min="8" max="8" width="13.28515625" customWidth="1"/>
    <col min="9" max="9" width="27.85546875" customWidth="1"/>
    <col min="10" max="10" width="12" bestFit="1" customWidth="1"/>
    <col min="11" max="11" width="13.85546875" customWidth="1"/>
  </cols>
  <sheetData>
    <row r="2" spans="1:11" x14ac:dyDescent="0.25">
      <c r="A2" t="s">
        <v>2</v>
      </c>
      <c r="B2" t="s">
        <v>1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12</v>
      </c>
      <c r="I2" t="s">
        <v>8</v>
      </c>
      <c r="J2" t="s">
        <v>9</v>
      </c>
      <c r="K2" t="s">
        <v>10</v>
      </c>
    </row>
    <row r="3" spans="1:11" x14ac:dyDescent="0.25">
      <c r="A3" s="17">
        <v>45019</v>
      </c>
      <c r="B3" s="18">
        <v>20</v>
      </c>
      <c r="C3" t="s">
        <v>77</v>
      </c>
      <c r="D3" t="s">
        <v>78</v>
      </c>
      <c r="E3" s="19">
        <v>30566</v>
      </c>
      <c r="F3" s="20">
        <v>39</v>
      </c>
      <c r="G3" s="21" t="s">
        <v>14</v>
      </c>
      <c r="H3" s="21" t="s">
        <v>17</v>
      </c>
      <c r="I3" t="s">
        <v>79</v>
      </c>
      <c r="J3">
        <v>982749846</v>
      </c>
      <c r="K3" s="22">
        <v>1200000</v>
      </c>
    </row>
    <row r="4" spans="1:11" x14ac:dyDescent="0.25">
      <c r="A4" s="17">
        <v>45019</v>
      </c>
      <c r="B4" s="18">
        <v>19</v>
      </c>
      <c r="C4" t="s">
        <v>73</v>
      </c>
      <c r="D4" t="s">
        <v>74</v>
      </c>
      <c r="E4" s="19">
        <v>31175</v>
      </c>
      <c r="F4" s="20">
        <v>37</v>
      </c>
      <c r="G4" s="21" t="s">
        <v>14</v>
      </c>
      <c r="H4" s="21" t="s">
        <v>18</v>
      </c>
      <c r="I4" t="s">
        <v>75</v>
      </c>
      <c r="J4">
        <v>975822657</v>
      </c>
      <c r="K4" s="22">
        <v>890000</v>
      </c>
    </row>
    <row r="5" spans="1:11" x14ac:dyDescent="0.25">
      <c r="A5" s="17">
        <v>45019</v>
      </c>
      <c r="B5" s="18">
        <v>18</v>
      </c>
      <c r="C5" t="s">
        <v>69</v>
      </c>
      <c r="D5" t="s">
        <v>70</v>
      </c>
      <c r="E5" s="19">
        <v>29587</v>
      </c>
      <c r="F5" s="20">
        <v>42</v>
      </c>
      <c r="G5" s="21" t="s">
        <v>15</v>
      </c>
      <c r="H5" s="21" t="s">
        <v>17</v>
      </c>
      <c r="I5" t="s">
        <v>71</v>
      </c>
      <c r="J5">
        <v>967982657</v>
      </c>
      <c r="K5" s="22">
        <v>750000</v>
      </c>
    </row>
    <row r="6" spans="1:11" x14ac:dyDescent="0.25">
      <c r="A6" s="17">
        <v>45019</v>
      </c>
      <c r="B6" s="18">
        <v>17</v>
      </c>
      <c r="C6" t="s">
        <v>66</v>
      </c>
      <c r="D6" t="s">
        <v>67</v>
      </c>
      <c r="E6" s="19">
        <v>21372</v>
      </c>
      <c r="F6" s="20">
        <v>64</v>
      </c>
      <c r="G6" s="21" t="s">
        <v>15</v>
      </c>
      <c r="H6" s="21" t="s">
        <v>17</v>
      </c>
      <c r="I6" t="s">
        <v>68</v>
      </c>
      <c r="J6">
        <v>987454216</v>
      </c>
      <c r="K6" s="22">
        <v>800000</v>
      </c>
    </row>
    <row r="7" spans="1:11" x14ac:dyDescent="0.25">
      <c r="A7" s="17">
        <v>45019</v>
      </c>
      <c r="B7" s="18">
        <v>16</v>
      </c>
      <c r="C7" t="s">
        <v>63</v>
      </c>
      <c r="D7" t="s">
        <v>64</v>
      </c>
      <c r="E7" s="19">
        <v>28641</v>
      </c>
      <c r="F7" s="20">
        <v>44</v>
      </c>
      <c r="G7" s="21" t="s">
        <v>14</v>
      </c>
      <c r="H7" s="21" t="s">
        <v>17</v>
      </c>
      <c r="I7" t="s">
        <v>65</v>
      </c>
      <c r="J7">
        <v>978946568</v>
      </c>
      <c r="K7" s="22">
        <v>650000</v>
      </c>
    </row>
    <row r="8" spans="1:11" x14ac:dyDescent="0.25">
      <c r="A8" s="17">
        <v>45019</v>
      </c>
      <c r="B8" s="18">
        <v>15</v>
      </c>
      <c r="C8" t="s">
        <v>60</v>
      </c>
      <c r="D8" t="s">
        <v>61</v>
      </c>
      <c r="E8" s="19">
        <v>25662</v>
      </c>
      <c r="F8" s="20">
        <v>52</v>
      </c>
      <c r="G8" s="21" t="s">
        <v>15</v>
      </c>
      <c r="H8" s="21" t="s">
        <v>18</v>
      </c>
      <c r="I8" t="s">
        <v>62</v>
      </c>
      <c r="J8">
        <v>975369872</v>
      </c>
      <c r="K8" s="22">
        <v>500000</v>
      </c>
    </row>
    <row r="9" spans="1:11" x14ac:dyDescent="0.25">
      <c r="A9" s="17">
        <v>45019</v>
      </c>
      <c r="B9" s="18">
        <v>14</v>
      </c>
      <c r="C9" t="s">
        <v>57</v>
      </c>
      <c r="D9" t="s">
        <v>58</v>
      </c>
      <c r="E9" s="19">
        <v>21798</v>
      </c>
      <c r="F9" s="20">
        <v>63</v>
      </c>
      <c r="G9" s="21" t="s">
        <v>15</v>
      </c>
      <c r="H9" s="21" t="s">
        <v>19</v>
      </c>
      <c r="I9" t="s">
        <v>59</v>
      </c>
      <c r="J9">
        <v>945632178</v>
      </c>
      <c r="K9" s="22">
        <v>750000</v>
      </c>
    </row>
    <row r="10" spans="1:11" x14ac:dyDescent="0.25">
      <c r="A10" s="17">
        <v>45019</v>
      </c>
      <c r="B10" s="18">
        <v>13</v>
      </c>
      <c r="C10" t="s">
        <v>54</v>
      </c>
      <c r="D10" t="s">
        <v>55</v>
      </c>
      <c r="E10" s="19">
        <v>34959</v>
      </c>
      <c r="F10" s="20">
        <v>27</v>
      </c>
      <c r="G10" s="21" t="s">
        <v>14</v>
      </c>
      <c r="H10" s="21" t="s">
        <v>16</v>
      </c>
      <c r="I10" t="s">
        <v>56</v>
      </c>
      <c r="J10">
        <v>987963214</v>
      </c>
      <c r="K10" s="22">
        <v>700000</v>
      </c>
    </row>
    <row r="11" spans="1:11" x14ac:dyDescent="0.25">
      <c r="A11" s="17">
        <v>45019</v>
      </c>
      <c r="B11" s="18">
        <v>12</v>
      </c>
      <c r="C11" t="s">
        <v>41</v>
      </c>
      <c r="D11" t="s">
        <v>42</v>
      </c>
      <c r="E11" s="19">
        <v>29041</v>
      </c>
      <c r="F11" s="20">
        <v>43</v>
      </c>
      <c r="G11" s="21" t="s">
        <v>14</v>
      </c>
      <c r="H11" s="21" t="s">
        <v>17</v>
      </c>
      <c r="I11" t="s">
        <v>53</v>
      </c>
      <c r="J11">
        <v>978453621</v>
      </c>
      <c r="K11" s="22">
        <v>850000</v>
      </c>
    </row>
    <row r="12" spans="1:11" x14ac:dyDescent="0.25">
      <c r="A12" s="17">
        <v>45019</v>
      </c>
      <c r="B12" s="18">
        <v>11</v>
      </c>
      <c r="C12" t="s">
        <v>34</v>
      </c>
      <c r="D12" t="s">
        <v>43</v>
      </c>
      <c r="E12" s="19">
        <v>33729</v>
      </c>
      <c r="F12" s="20">
        <v>30</v>
      </c>
      <c r="G12" s="21" t="s">
        <v>15</v>
      </c>
      <c r="H12" s="21" t="s">
        <v>16</v>
      </c>
      <c r="I12" t="s">
        <v>40</v>
      </c>
      <c r="J12">
        <v>985657452</v>
      </c>
      <c r="K12" s="22">
        <v>650000</v>
      </c>
    </row>
    <row r="13" spans="1:11" x14ac:dyDescent="0.25">
      <c r="A13" s="17">
        <v>45019</v>
      </c>
      <c r="B13" s="18">
        <v>10</v>
      </c>
      <c r="C13" t="s">
        <v>38</v>
      </c>
      <c r="D13" t="s">
        <v>44</v>
      </c>
      <c r="E13" s="19">
        <v>36833</v>
      </c>
      <c r="F13" s="20">
        <v>22</v>
      </c>
      <c r="G13" s="21" t="s">
        <v>15</v>
      </c>
      <c r="H13" s="21" t="s">
        <v>16</v>
      </c>
      <c r="I13" t="s">
        <v>39</v>
      </c>
      <c r="J13">
        <v>947893265</v>
      </c>
      <c r="K13" s="22">
        <v>680000</v>
      </c>
    </row>
    <row r="14" spans="1:11" x14ac:dyDescent="0.25">
      <c r="A14" s="17">
        <v>45019</v>
      </c>
      <c r="B14" s="18">
        <v>9</v>
      </c>
      <c r="C14" t="s">
        <v>36</v>
      </c>
      <c r="D14" t="s">
        <v>45</v>
      </c>
      <c r="E14" s="19">
        <v>31889</v>
      </c>
      <c r="F14" s="20">
        <v>35</v>
      </c>
      <c r="G14" s="21" t="s">
        <v>14</v>
      </c>
      <c r="H14" s="21" t="s">
        <v>17</v>
      </c>
      <c r="I14" t="s">
        <v>37</v>
      </c>
      <c r="J14">
        <v>954879632</v>
      </c>
      <c r="K14" s="22">
        <v>1200000</v>
      </c>
    </row>
    <row r="15" spans="1:11" x14ac:dyDescent="0.25">
      <c r="A15" s="17">
        <v>45019</v>
      </c>
      <c r="B15" s="18">
        <v>8</v>
      </c>
      <c r="C15" t="s">
        <v>33</v>
      </c>
      <c r="D15" t="s">
        <v>46</v>
      </c>
      <c r="E15" s="19">
        <v>29011</v>
      </c>
      <c r="F15" s="20">
        <v>43</v>
      </c>
      <c r="G15" s="21" t="s">
        <v>14</v>
      </c>
      <c r="H15" s="21" t="s">
        <v>17</v>
      </c>
      <c r="I15" t="s">
        <v>35</v>
      </c>
      <c r="J15">
        <v>987963214</v>
      </c>
      <c r="K15" s="22">
        <v>1000000</v>
      </c>
    </row>
    <row r="16" spans="1:11" x14ac:dyDescent="0.25">
      <c r="A16" s="17">
        <v>45019</v>
      </c>
      <c r="B16" s="18">
        <v>7</v>
      </c>
      <c r="C16" t="s">
        <v>31</v>
      </c>
      <c r="D16" t="s">
        <v>47</v>
      </c>
      <c r="E16" s="19">
        <v>37139</v>
      </c>
      <c r="F16" s="20">
        <v>21</v>
      </c>
      <c r="G16" s="21" t="s">
        <v>15</v>
      </c>
      <c r="H16" s="21" t="s">
        <v>16</v>
      </c>
      <c r="I16" t="s">
        <v>32</v>
      </c>
      <c r="J16">
        <v>936587964</v>
      </c>
      <c r="K16" s="22">
        <v>650000</v>
      </c>
    </row>
    <row r="17" spans="1:11" x14ac:dyDescent="0.25">
      <c r="A17" s="17">
        <v>45019</v>
      </c>
      <c r="B17" s="18">
        <v>6</v>
      </c>
      <c r="C17" t="s">
        <v>29</v>
      </c>
      <c r="D17" t="s">
        <v>48</v>
      </c>
      <c r="E17" s="19">
        <v>37530</v>
      </c>
      <c r="F17" s="20">
        <v>20</v>
      </c>
      <c r="G17" s="21" t="s">
        <v>14</v>
      </c>
      <c r="H17" s="21" t="s">
        <v>16</v>
      </c>
      <c r="I17" t="s">
        <v>30</v>
      </c>
      <c r="J17">
        <v>985647932</v>
      </c>
      <c r="K17" s="22">
        <v>700000</v>
      </c>
    </row>
    <row r="18" spans="1:11" x14ac:dyDescent="0.25">
      <c r="A18" s="17">
        <v>45019</v>
      </c>
      <c r="B18" s="18">
        <v>5</v>
      </c>
      <c r="C18" t="s">
        <v>27</v>
      </c>
      <c r="D18" t="s">
        <v>49</v>
      </c>
      <c r="E18" s="19">
        <v>32667</v>
      </c>
      <c r="F18" s="20">
        <v>33</v>
      </c>
      <c r="G18" s="21" t="s">
        <v>15</v>
      </c>
      <c r="H18" s="21" t="s">
        <v>16</v>
      </c>
      <c r="I18" t="s">
        <v>28</v>
      </c>
      <c r="J18">
        <v>978963589</v>
      </c>
      <c r="K18" s="22">
        <v>850000</v>
      </c>
    </row>
    <row r="19" spans="1:11" x14ac:dyDescent="0.25">
      <c r="A19" s="17">
        <v>45019</v>
      </c>
      <c r="B19" s="18">
        <v>4</v>
      </c>
      <c r="C19" t="s">
        <v>26</v>
      </c>
      <c r="D19" t="s">
        <v>50</v>
      </c>
      <c r="E19" s="19">
        <v>36001</v>
      </c>
      <c r="F19" s="20">
        <v>24</v>
      </c>
      <c r="G19" s="21" t="s">
        <v>15</v>
      </c>
      <c r="H19" s="21" t="s">
        <v>17</v>
      </c>
      <c r="I19" t="s">
        <v>80</v>
      </c>
      <c r="J19">
        <v>958789636</v>
      </c>
      <c r="K19" s="22">
        <v>550000</v>
      </c>
    </row>
    <row r="20" spans="1:11" x14ac:dyDescent="0.25">
      <c r="A20" s="17">
        <v>45018</v>
      </c>
      <c r="B20" s="18">
        <v>3</v>
      </c>
      <c r="C20" t="s">
        <v>23</v>
      </c>
      <c r="D20" t="s">
        <v>50</v>
      </c>
      <c r="E20" s="19">
        <v>35599</v>
      </c>
      <c r="F20" s="20">
        <v>25</v>
      </c>
      <c r="G20" s="21" t="s">
        <v>14</v>
      </c>
      <c r="H20" s="21" t="s">
        <v>18</v>
      </c>
      <c r="I20" t="s">
        <v>76</v>
      </c>
      <c r="J20">
        <v>986846132</v>
      </c>
      <c r="K20" s="22">
        <v>650000</v>
      </c>
    </row>
    <row r="21" spans="1:11" x14ac:dyDescent="0.25">
      <c r="A21" s="17">
        <v>45018</v>
      </c>
      <c r="B21" s="18">
        <v>2</v>
      </c>
      <c r="C21" t="s">
        <v>25</v>
      </c>
      <c r="D21" t="s">
        <v>51</v>
      </c>
      <c r="E21" s="19">
        <v>36035</v>
      </c>
      <c r="F21" s="20">
        <v>24</v>
      </c>
      <c r="G21" s="21" t="s">
        <v>15</v>
      </c>
      <c r="H21" s="21" t="s">
        <v>16</v>
      </c>
      <c r="I21" t="s">
        <v>81</v>
      </c>
      <c r="J21">
        <v>416489641</v>
      </c>
      <c r="K21" s="22">
        <v>700000</v>
      </c>
    </row>
    <row r="22" spans="1:11" x14ac:dyDescent="0.25">
      <c r="A22" s="17">
        <v>45018</v>
      </c>
      <c r="B22" s="18">
        <v>1</v>
      </c>
      <c r="C22" t="s">
        <v>23</v>
      </c>
      <c r="D22" t="s">
        <v>52</v>
      </c>
      <c r="E22" s="19">
        <v>33380</v>
      </c>
      <c r="F22" s="20">
        <v>31</v>
      </c>
      <c r="G22" s="21" t="s">
        <v>14</v>
      </c>
      <c r="H22" s="21" t="s">
        <v>17</v>
      </c>
      <c r="I22" t="s">
        <v>72</v>
      </c>
      <c r="J22">
        <v>958289768</v>
      </c>
      <c r="K22" s="22">
        <v>900000</v>
      </c>
    </row>
    <row r="23" spans="1:11" x14ac:dyDescent="0.25">
      <c r="A23" s="17"/>
      <c r="B23" s="18"/>
      <c r="E23" s="19"/>
      <c r="F23" s="20"/>
      <c r="G23" s="21"/>
      <c r="H23" s="21"/>
      <c r="K23" s="22"/>
    </row>
    <row r="24" spans="1:11" x14ac:dyDescent="0.25">
      <c r="A24" t="s">
        <v>24</v>
      </c>
      <c r="E24" s="21"/>
      <c r="F24" s="20"/>
      <c r="G24" s="21"/>
      <c r="H24" s="21"/>
      <c r="K24" s="22">
        <f>SUBTOTAL(109,Registros[Sueldo Base])</f>
        <v>15620000</v>
      </c>
    </row>
  </sheetData>
  <conditionalFormatting sqref="F3:F23">
    <cfRule type="expression" dxfId="18" priority="2">
      <formula>ISBLANK(#REF!)</formula>
    </cfRule>
  </conditionalFormatting>
  <dataValidations count="1">
    <dataValidation type="date" allowBlank="1" showInputMessage="1" showErrorMessage="1" sqref="E3:E23" xr:uid="{3E57BE16-05AE-4E64-B00E-F63681EFF8D8}">
      <formula1>1</formula1>
      <formula2>TODAY()</formula2>
    </dataValidation>
  </dataValidations>
  <hyperlinks>
    <hyperlink ref="I22" r:id="rId1" xr:uid="{FC290E6A-FF9F-4A58-8E80-9E1209024795}"/>
    <hyperlink ref="I20" r:id="rId2" xr:uid="{EA0A0E81-3DA2-4B15-A39C-7B342E45DF13}"/>
    <hyperlink ref="I19" r:id="rId3" xr:uid="{DFC8E209-5D58-4E82-A525-DB2F1D305034}"/>
    <hyperlink ref="I21" r:id="rId4" xr:uid="{95598DC1-8B41-483E-8D5A-358EBD89FC7D}"/>
  </hyperlinks>
  <pageMargins left="0.7" right="0.7" top="0.75" bottom="0.75" header="0.3" footer="0.3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FBB509-C1BC-44E3-A9B6-F424D28851F2}">
          <x14:formula1>
            <xm:f>AUX!$A$4:$A$5</xm:f>
          </x14:formula1>
          <xm:sqref>G3:G23</xm:sqref>
        </x14:dataValidation>
        <x14:dataValidation type="list" allowBlank="1" showInputMessage="1" showErrorMessage="1" xr:uid="{B032590F-B33D-4470-9E07-2901158B34C7}">
          <x14:formula1>
            <xm:f>AUX!$A$8:$A$11</xm:f>
          </x14:formula1>
          <xm:sqref>H3:H23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036BB-D1F9-4EA7-AF2A-4DB29F112E32}">
  <sheetPr codeName="Hoja2"/>
  <dimension ref="A3:A11"/>
  <sheetViews>
    <sheetView workbookViewId="0">
      <selection activeCell="C3" sqref="C3"/>
    </sheetView>
  </sheetViews>
  <sheetFormatPr baseColWidth="10" defaultRowHeight="15" x14ac:dyDescent="0.25"/>
  <cols>
    <col min="1" max="1" width="13" customWidth="1"/>
    <col min="3" max="3" width="20.28515625" bestFit="1" customWidth="1"/>
  </cols>
  <sheetData>
    <row r="3" spans="1:1" x14ac:dyDescent="0.25">
      <c r="A3" t="s">
        <v>7</v>
      </c>
    </row>
    <row r="4" spans="1:1" x14ac:dyDescent="0.25">
      <c r="A4" t="s">
        <v>14</v>
      </c>
    </row>
    <row r="5" spans="1:1" x14ac:dyDescent="0.25">
      <c r="A5" t="s">
        <v>15</v>
      </c>
    </row>
    <row r="7" spans="1:1" x14ac:dyDescent="0.25">
      <c r="A7" t="s">
        <v>13</v>
      </c>
    </row>
    <row r="8" spans="1:1" x14ac:dyDescent="0.25">
      <c r="A8" t="s">
        <v>16</v>
      </c>
    </row>
    <row r="9" spans="1:1" x14ac:dyDescent="0.25">
      <c r="A9" t="s">
        <v>17</v>
      </c>
    </row>
    <row r="10" spans="1:1" x14ac:dyDescent="0.25">
      <c r="A10" t="s">
        <v>18</v>
      </c>
    </row>
    <row r="11" spans="1:1" x14ac:dyDescent="0.25">
      <c r="A11" t="s">
        <v>19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Formulario</vt:lpstr>
      <vt:lpstr>Datos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Gongora</cp:lastModifiedBy>
  <dcterms:created xsi:type="dcterms:W3CDTF">2023-04-02T19:52:07Z</dcterms:created>
  <dcterms:modified xsi:type="dcterms:W3CDTF">2023-04-04T14:29:51Z</dcterms:modified>
</cp:coreProperties>
</file>